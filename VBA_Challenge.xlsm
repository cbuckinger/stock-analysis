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fbefa45ee685e2e/Documents/GitHub/Stocks Analysis/"/>
    </mc:Choice>
  </mc:AlternateContent>
  <xr:revisionPtr revIDLastSave="118" documentId="8_{187AAFBC-94B4-4B81-BC92-B64E65C45260}" xr6:coauthVersionLast="47" xr6:coauthVersionMax="47" xr10:uidLastSave="{7703B7F8-741F-4CFB-833B-F6063BC012DF}"/>
  <bookViews>
    <workbookView minimized="1" xWindow="1500" yWindow="348" windowWidth="11520" windowHeight="12240" activeTab="3" xr2:uid="{0354C8D7-B406-45BC-A64C-4082D7226A0F}"/>
  </bookViews>
  <sheets>
    <sheet name="Start Report" sheetId="9" r:id="rId1"/>
    <sheet name="2017" sheetId="1" r:id="rId2"/>
    <sheet name="2018" sheetId="2" r:id="rId3"/>
    <sheet name="All Stocks Analysis 2018" sheetId="6" r:id="rId4"/>
    <sheet name="All Stocks Analysis 2017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2" i="1" l="1"/>
  <c r="I506" i="2"/>
  <c r="I507" i="2"/>
  <c r="I508" i="2"/>
  <c r="I509" i="2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505" i="2"/>
  <c r="I504" i="2"/>
  <c r="I254" i="2"/>
  <c r="I255" i="2"/>
  <c r="I256" i="2"/>
  <c r="I257" i="2"/>
  <c r="I258" i="2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253" i="2"/>
  <c r="I4" i="2"/>
  <c r="I5" i="2"/>
  <c r="I6" i="2"/>
  <c r="I7" i="2"/>
  <c r="I8" i="2" s="1"/>
  <c r="I9" i="2" s="1"/>
  <c r="I10" i="2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3" i="2"/>
  <c r="I2" i="2"/>
  <c r="I1761" i="2"/>
  <c r="I1762" i="2"/>
  <c r="I1763" i="2"/>
  <c r="I1764" i="2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1760" i="2"/>
  <c r="I1759" i="2"/>
</calcChain>
</file>

<file path=xl/sharedStrings.xml><?xml version="1.0" encoding="utf-8"?>
<sst xmlns="http://schemas.openxmlformats.org/spreadsheetml/2006/main" count="12096" uniqueCount="527">
  <si>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</si>
  <si>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</si>
  <si>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</si>
  <si>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</si>
  <si>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</si>
  <si>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</si>
  <si>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</si>
  <si>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</si>
  <si>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</si>
  <si>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</si>
  <si>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</si>
  <si>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</si>
  <si>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</si>
  <si>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</si>
  <si>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</si>
  <si>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</si>
  <si>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</si>
  <si>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</si>
  <si>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</si>
  <si>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</si>
  <si>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</si>
  <si>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</si>
  <si>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</si>
  <si>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</si>
  <si>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</si>
  <si>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</si>
  <si>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</si>
  <si>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</si>
  <si>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</si>
  <si>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</si>
  <si>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</si>
  <si>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</si>
  <si>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</si>
  <si>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</si>
  <si>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</si>
  <si>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</si>
  <si>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</si>
  <si>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</si>
  <si>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</si>
  <si>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</si>
  <si>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</si>
  <si>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</si>
  <si>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</si>
  <si>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</si>
  <si>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</si>
  <si>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</si>
  <si>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</si>
  <si>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</si>
  <si>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</si>
  <si>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</si>
  <si>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</si>
  <si>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</si>
  <si>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</si>
  <si>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</si>
  <si>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</si>
  <si>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</si>
  <si>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</si>
  <si>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</si>
  <si>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</si>
  <si>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</si>
  <si>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</si>
  <si>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</si>
  <si>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</si>
  <si>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</si>
  <si>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</si>
  <si>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</si>
  <si>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</si>
  <si>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</si>
  <si>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</si>
  <si>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</si>
  <si>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</si>
  <si>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</si>
  <si>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</si>
  <si>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</si>
  <si>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</si>
  <si>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</si>
  <si>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</si>
  <si>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</si>
  <si>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</si>
  <si>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</si>
  <si>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</si>
  <si>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</si>
  <si>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</si>
  <si>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</si>
  <si>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</si>
  <si>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</si>
  <si>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</si>
  <si>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</si>
  <si>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</si>
  <si>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</si>
  <si>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</si>
  <si>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</si>
  <si>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</si>
  <si>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</si>
  <si>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</si>
  <si>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</si>
  <si>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</si>
  <si>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</si>
  <si>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</si>
  <si>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</si>
  <si>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</si>
  <si>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</si>
  <si>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</si>
  <si>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</si>
  <si>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</si>
  <si>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</si>
  <si>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</si>
  <si>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</si>
  <si>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</si>
  <si>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</si>
  <si>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</si>
  <si>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</si>
  <si>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</si>
  <si>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</si>
  <si>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</si>
  <si>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</si>
  <si>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</si>
  <si>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</si>
  <si>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</si>
  <si>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</si>
  <si>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</si>
  <si>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</si>
  <si>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</si>
  <si>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</si>
  <si>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</si>
  <si>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</si>
  <si>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</si>
  <si>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</si>
  <si>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</si>
  <si>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</si>
  <si>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</si>
  <si>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</si>
  <si>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</si>
  <si>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</si>
  <si>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</si>
  <si>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</si>
  <si>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</si>
  <si>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</si>
  <si>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</si>
  <si>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</si>
  <si>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</si>
  <si>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</si>
  <si>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</si>
  <si>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</si>
  <si>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</si>
  <si>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</si>
  <si>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</si>
  <si>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</si>
  <si>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</si>
  <si>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</si>
  <si>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</si>
  <si>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</si>
  <si>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</si>
  <si>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</si>
  <si>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</si>
  <si>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</si>
  <si>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</si>
  <si>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</si>
  <si>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</si>
  <si>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</si>
  <si>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</si>
  <si>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</si>
  <si>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</si>
  <si>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</si>
  <si>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</si>
  <si>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</si>
  <si>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</si>
  <si>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</si>
  <si>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</si>
  <si>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</si>
  <si>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</si>
  <si>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</si>
  <si>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</si>
  <si>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</si>
  <si>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</si>
  <si>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</si>
  <si>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</si>
  <si>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</si>
  <si>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</si>
  <si>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</si>
  <si>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</si>
  <si>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</si>
  <si>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</si>
  <si>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</si>
  <si>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</si>
  <si>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</si>
  <si>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</si>
  <si>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</si>
  <si>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</si>
  <si>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</si>
  <si>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</si>
  <si>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</si>
  <si>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</si>
  <si>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</si>
  <si>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</si>
  <si>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</si>
  <si>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</si>
  <si>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</si>
  <si>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</si>
  <si>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</si>
  <si>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</si>
  <si>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</si>
  <si>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</si>
  <si>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</si>
  <si>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</si>
  <si>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</si>
  <si>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</si>
  <si>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</si>
  <si>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</si>
  <si>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</si>
  <si>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</si>
  <si>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</si>
  <si>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</si>
  <si>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</si>
  <si>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</si>
  <si>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</si>
  <si>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</si>
  <si>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</si>
  <si>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</si>
  <si>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</si>
  <si>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</si>
  <si>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</si>
  <si>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</si>
  <si>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</si>
  <si>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</si>
  <si>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</si>
  <si>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</si>
  <si>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</si>
  <si>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</si>
  <si>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</si>
  <si>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</si>
  <si>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</si>
  <si>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</si>
  <si>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</si>
  <si>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</si>
  <si>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</si>
  <si>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</si>
  <si>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</si>
  <si>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</si>
  <si>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</si>
  <si>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</si>
  <si>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</si>
  <si>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</si>
  <si>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</si>
  <si>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</si>
  <si>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</si>
  <si>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</si>
  <si>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</si>
  <si>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</si>
  <si>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</si>
  <si>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</si>
  <si>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</si>
  <si>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</si>
  <si>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</si>
  <si>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</si>
  <si>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</si>
  <si>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</si>
  <si>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</si>
  <si>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</si>
  <si>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</si>
  <si>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</si>
  <si>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</si>
  <si>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</si>
  <si>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</si>
  <si>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</si>
  <si>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</si>
  <si>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</si>
  <si>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</si>
  <si>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</si>
  <si>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</si>
  <si>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</si>
  <si>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</si>
  <si>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</si>
  <si>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</si>
  <si>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</si>
  <si>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</si>
  <si>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</si>
  <si>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</si>
  <si>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</si>
  <si>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</si>
  <si>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</si>
  <si>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</si>
  <si>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</si>
  <si>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</si>
  <si>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</si>
  <si>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</si>
  <si>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</si>
  <si>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</si>
  <si>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</si>
  <si>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</si>
  <si>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</si>
  <si>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</si>
  <si>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</si>
  <si>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</si>
  <si>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</si>
  <si>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</si>
  <si>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</si>
  <si>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</si>
  <si>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</si>
  <si>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</si>
  <si>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</si>
  <si>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</si>
  <si>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</si>
  <si>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</si>
  <si>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</si>
  <si>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</si>
  <si>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</si>
  <si>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</si>
  <si>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</si>
  <si>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</si>
  <si>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</si>
  <si>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</si>
  <si>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</si>
  <si>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</si>
  <si>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</si>
  <si>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</si>
  <si>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</si>
  <si>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</si>
  <si>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</si>
  <si>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</si>
  <si>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</si>
  <si>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</si>
  <si>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</si>
  <si>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</si>
  <si>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</si>
  <si>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</si>
  <si>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</si>
  <si>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</si>
  <si>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</si>
  <si>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</si>
  <si>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</si>
  <si>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</si>
  <si>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</si>
  <si>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</si>
  <si>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</si>
  <si>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</si>
  <si>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</si>
  <si>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</si>
  <si>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</si>
  <si>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</si>
  <si>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</si>
  <si>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</si>
  <si>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</si>
  <si>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</si>
  <si>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</si>
  <si>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</si>
  <si>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</si>
  <si>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</si>
  <si>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</si>
  <si>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</si>
  <si>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</si>
  <si>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</si>
  <si>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</si>
  <si>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</si>
  <si>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</si>
  <si>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</si>
  <si>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</si>
  <si>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</si>
  <si>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</si>
  <si>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</si>
  <si>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</si>
  <si>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</si>
  <si>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</si>
  <si>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</si>
  <si>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</si>
  <si>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</si>
  <si>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</si>
  <si>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</si>
  <si>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</si>
  <si>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</si>
  <si>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</si>
  <si>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</si>
  <si>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</si>
  <si>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</si>
  <si>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</si>
  <si>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</si>
  <si>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</si>
  <si>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</si>
  <si>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</si>
  <si>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</si>
  <si>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</si>
  <si>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</si>
  <si>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</si>
  <si>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</si>
  <si>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</si>
  <si>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</si>
  <si>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</si>
  <si>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</si>
  <si>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</si>
  <si>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</si>
  <si>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</si>
  <si>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</si>
  <si>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</si>
  <si>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</si>
  <si>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</si>
  <si>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</si>
  <si>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</si>
  <si>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</si>
  <si>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</si>
  <si>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</si>
  <si>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</si>
  <si>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</si>
  <si>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</si>
  <si>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</si>
  <si>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</si>
  <si>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</si>
  <si>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</si>
  <si>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</si>
  <si>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</si>
  <si>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</si>
  <si>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</si>
  <si>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</si>
  <si>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</si>
  <si>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</si>
  <si>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</si>
  <si>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</si>
  <si>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</si>
  <si>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</si>
  <si>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</si>
  <si>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</si>
  <si>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</si>
  <si>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</si>
  <si>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</si>
  <si>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</si>
  <si>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</si>
  <si>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</si>
  <si>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</si>
  <si>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</si>
  <si>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</si>
  <si>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</si>
  <si>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</si>
  <si>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</si>
  <si>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</si>
  <si>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</si>
  <si>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</si>
  <si>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</si>
  <si>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</si>
  <si>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</si>
  <si>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</si>
  <si>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</si>
  <si>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</si>
  <si>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</si>
  <si>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</si>
  <si>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</si>
  <si>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</si>
  <si>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</si>
  <si>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</si>
  <si>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</si>
  <si>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</si>
  <si>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</si>
  <si>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</si>
  <si>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</si>
  <si>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</si>
  <si>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</si>
  <si>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</si>
  <si>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</si>
  <si>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</si>
  <si>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</si>
  <si>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</si>
  <si>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</si>
  <si>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</si>
  <si>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</si>
  <si>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</si>
  <si>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</si>
  <si>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</si>
  <si>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</si>
  <si>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</si>
  <si>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</si>
  <si>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</si>
  <si>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</si>
  <si>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</si>
  <si>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</si>
  <si>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</si>
  <si>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</si>
  <si>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</si>
  <si>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</si>
  <si>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</si>
  <si>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</si>
  <si>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</si>
  <si>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</si>
  <si>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</si>
  <si>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</si>
  <si>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</si>
  <si>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</si>
  <si>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</si>
  <si>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</si>
  <si>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</si>
  <si>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</si>
  <si>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</si>
  <si>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</si>
  <si>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</si>
  <si>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</si>
  <si>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</si>
  <si>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</si>
  <si>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</si>
  <si>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</si>
  <si>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</si>
  <si>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</si>
  <si>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</si>
  <si>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</si>
  <si>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</si>
  <si>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</si>
  <si>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</si>
  <si>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</si>
  <si>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</si>
  <si>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</si>
  <si>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</si>
  <si>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</si>
  <si>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</si>
  <si>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</si>
  <si>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</si>
  <si>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</si>
  <si>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</si>
  <si>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</si>
  <si>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</si>
  <si>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</si>
  <si>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</si>
  <si>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</si>
  <si>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</si>
  <si>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</si>
  <si>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</si>
  <si>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</si>
  <si>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</si>
  <si>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All Stocks (2018)</t>
  </si>
  <si>
    <t>Return</t>
  </si>
  <si>
    <t>All Stocks 2017</t>
  </si>
  <si>
    <t>All Stocks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</si>
</sst>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4" fillId="0" borderId="0" xfId="0" applyFont="1"/>
    <xf numFmtId="0" fontId="0" fillId="2" borderId="0" xfId="0" applyFill="1"/>
    <xf numFmtId="0" fontId="3" fillId="0" borderId="2" xfId="0" applyFont="1" applyBorder="1"/>
    <xf numFmtId="3" fontId="2" fillId="0" borderId="0" xfId="0" applyNumberFormat="1" applyFont="1"/>
    <xf numFmtId="164" fontId="2" fillId="3" borderId="0" xfId="0" applyNumberFormat="1" applyFont="1" applyFill="1"/>
    <xf numFmtId="164" fontId="2" fillId="4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3</xdr:row>
          <xdr:rowOff>15240</xdr:rowOff>
        </xdr:from>
        <xdr:to>
          <xdr:col>9</xdr:col>
          <xdr:colOff>594360</xdr:colOff>
          <xdr:row>6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Access Reports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5F5FA-7029-47B5-9108-C8B1EAEEEE76}">
  <sheetPr codeName="Sheet4"/>
  <dimension ref="A1"/>
  <sheetViews>
    <sheetView workbookViewId="0">
      <selection activeCell="K13" sqref="K13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45720</xdr:colOff>
                    <xdr:row>3</xdr:row>
                    <xdr:rowOff>15240</xdr:rowOff>
                  </from>
                  <to>
                    <xdr:col>9</xdr:col>
                    <xdr:colOff>594360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topLeftCell="A184" workbookViewId="0">
      <selection activeCell="I253" sqref="I253"/>
    </sheetView>
  </sheetViews>
  <sheetFormatPr defaultColWidth="8.77734375" defaultRowHeight="14.4" x14ac:dyDescent="0.3"/>
  <cols>
    <col min="9" max="9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9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9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9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9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9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9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9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9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9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9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9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9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  <c r="I252">
        <f>SUM(H2:H252)</f>
        <v>136070900</v>
      </c>
    </row>
    <row r="253" spans="1:9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9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9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9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636" topLeftCell="A1001" activePane="bottomLeft"/>
      <selection pane="bottomLeft" activeCell="G1005" sqref="G1005"/>
    </sheetView>
  </sheetViews>
  <sheetFormatPr defaultColWidth="8.77734375" defaultRowHeight="14.4" x14ac:dyDescent="0.3"/>
  <cols>
    <col min="9" max="9" width="10" bestFit="1" customWidth="1"/>
  </cols>
  <sheetData>
    <row r="1" spans="1:9" ht="17.399999999999999" customHeight="1" x14ac:dyDescent="0.3">
      <c r="A1" s="1" t="s">
        <v>523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 s="4">
        <v>21.139999</v>
      </c>
      <c r="G2">
        <v>19.391327</v>
      </c>
      <c r="H2">
        <v>1247400</v>
      </c>
      <c r="I2">
        <f>H2</f>
        <v>1247400</v>
      </c>
    </row>
    <row r="3" spans="1:9" x14ac:dyDescent="0.3">
      <c r="A3" t="s">
        <v>8</v>
      </c>
      <c r="B3" t="s">
        <v>271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I2+H3</f>
        <v>2084000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I3+H4</f>
        <v>3525100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4195300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4778000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5063900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5637800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6005600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6418400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6775400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7031900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7296200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7524900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7956000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8175700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8963400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9516700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9876600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10505000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10728700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10977900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11477500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12277400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12640500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13045200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13334000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13718300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13996600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14212400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14452500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14636100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15019200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15201300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15404000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15716000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16239200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16441800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16723000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16978900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17233800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17763000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18134500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18329800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18591200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19239100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20029400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20336600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20722500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21033300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21374600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21933400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22641800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23160000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23677500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23831300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24097000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24370700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24618100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24754500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24905500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25049800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25234000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25433000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25568300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25828700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26241900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I67+H68</f>
        <v>26691500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26940000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27040700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27318700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27482100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27653500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28347900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28800900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29232600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29852300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30098300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30422300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30665900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31595500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31799300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32220700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32469500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32663400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32819800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33030000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33407700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33828500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34251800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34392600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34542400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34760700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35133900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35425800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35803000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36093300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36419000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36692700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37047900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37279100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37453700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37859300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38091300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38235200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38496300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38625600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39018500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39392800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39707100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39958200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40261800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40617900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40843800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41354000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41863500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42041100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42181500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42524000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42723100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42938300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43148600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43404700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43516300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43779200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43904100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44104800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44239800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44434300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44794600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44960600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I131+H132</f>
        <v>45197900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45348800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45511100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45684200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45831800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46028800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46250300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46431900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46589300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46825500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47058900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47237600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47410800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47645800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47821500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48093300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48385600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48577700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48872100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49447400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49720900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49906800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50147800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50361000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50487900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50673400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50895300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51119800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51309000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51484500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51839300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51946100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52120000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52308800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52388400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52520000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52802400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52954400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53195700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53342900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53567500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53682600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53850800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53993600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54201500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54329000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54579000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54918000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55186400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55415500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55601200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55920500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56243700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56379600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56512000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56679400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56932700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57548600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57841600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58008400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58151600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58336900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58566100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58670500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2" si="3">I195+H196</f>
        <v>58826200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59147600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59420000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59719300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60203000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60519500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60652500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61071500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61450500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61753400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62235700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62417200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62721600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63256900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63635600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63862800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64049800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64236100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64508000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65405500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66590700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68793900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69370100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69611300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69825300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70140500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70809300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71430200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71966900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72447200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72792800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73457000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73685100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74161400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74669200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75130600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75453900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75768800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76093200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76536300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76959900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77485500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77787000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78027000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78359400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78669400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78973800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79678100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80156000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80548500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81064500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81666700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81905500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82182000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82487700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82869200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4">
        <v>19.237219</v>
      </c>
      <c r="H252">
        <v>210700</v>
      </c>
      <c r="I252">
        <f t="shared" si="3"/>
        <v>83079900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4">
        <v>17.139999</v>
      </c>
      <c r="H253">
        <v>736100</v>
      </c>
      <c r="I253">
        <f>H253</f>
        <v>736100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>I253+H254</f>
        <v>1723700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ref="I255:I318" si="4">I254+H255</f>
        <v>2522800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4"/>
        <v>3291700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4"/>
        <v>4018800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4"/>
        <v>4744300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4"/>
        <v>5320700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6254700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8088600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9342200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10024900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11047600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11717400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12334700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13645100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14409000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15497800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15979500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16465700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17060100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17630400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18166400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19193800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20334900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21155200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21876700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22862900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23980800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24713500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25261700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25719400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26249300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26542900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26887000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27194700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27508100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27766000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28117300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28651200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29137300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29817500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30143400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30830400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31243400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31586500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32175200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32710200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33089600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33535100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33834100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34193100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35012600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37558700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39082700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40336300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41288700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42031700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42814900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43992100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44729100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45016000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45510200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46322400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46910600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47770700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48292000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ref="I319:I382" si="5">I318+H319</f>
        <v>48884500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5"/>
        <v>49176400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5"/>
        <v>49449200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5"/>
        <v>49801300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5"/>
        <v>50107500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50387900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50785500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51515900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52040800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52660900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53208000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53829300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54359500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54730700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55318600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55834800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56098700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56460700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56720000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57088300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57692400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58036800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58690300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59399800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59853400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60347800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60998600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62687900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63418300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63895600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64954100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65434000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66031500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66593400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66949100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67389800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67823500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68579900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70015600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74500200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77059500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80017100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82792500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84903300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87119000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88905800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90115500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91187600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95060800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96399800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97827100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99355300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100797800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102138800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103413500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104511100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105103000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106008900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106598200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107249100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107613400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108116000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108961100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109635500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ref="I383:I446" si="6">I382+H383</f>
        <v>110173600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6"/>
        <v>110629100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6"/>
        <v>110923500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6"/>
        <v>111473300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6"/>
        <v>111896300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112821000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113248800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114067100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114660000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115270700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115868600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116621000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117152400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117576700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118136700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118926800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119436300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120206500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120686900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120950700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122109900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123126800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123840200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124376000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125342000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127067900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128396000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129146100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129888500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130652100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131261300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131769600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132311900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133589800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134112300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135269400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137880300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139092900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139591600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140386500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140717100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141087400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141847300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142378700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142743100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143133500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143471700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143932100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144307400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144629200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144857300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145489500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146263900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146504600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146774600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147140200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147611100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148351000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148629400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149378800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149795700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150369200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150818700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151303300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ref="I447:I503" si="7">I446+H447</f>
        <v>151737100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7"/>
        <v>152240100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7"/>
        <v>152905500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7"/>
        <v>153536700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7"/>
        <v>154169300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154874900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155639500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156233200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156771100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158907200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160258400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160826600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161632500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162207500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163097000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163655800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164506800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165451600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165912400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168099800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168760900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169912800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170623000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171005500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171630200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172207000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173054700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175505900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178529200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179955000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181047000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181892000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182411200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183623200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185026300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186619700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187464100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188077600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189275000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190140900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190926600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191468000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192158500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192842300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193446200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194026600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194478400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194996600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195552100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195966200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196870500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198138700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198919700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199522000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200056200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200509300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200879900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4">
        <v>62.57</v>
      </c>
      <c r="H504">
        <v>390900</v>
      </c>
      <c r="I504">
        <f>H504</f>
        <v>390900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>I504+H505</f>
        <v>738100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ref="I506:I569" si="8">I505+H506</f>
        <v>954900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8"/>
        <v>1174200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8"/>
        <v>2662600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8"/>
        <v>3493000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8"/>
        <v>3809200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8"/>
        <v>4068200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8"/>
        <v>4657700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8"/>
        <v>5316300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8"/>
        <v>5608500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8"/>
        <v>5848800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6373300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6752600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7142400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7528100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7763100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8092700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8529100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8768100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9156000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9581600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9856700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10292700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10694100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10968800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11257400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11570400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11768300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11903800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12087100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12273300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12575900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13196200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13643700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13923200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14242800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14699800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15173800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16520500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16945200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17854700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18520000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18842800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19160400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19601300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20331900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20858100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21224000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21467200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21730900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22119400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22628300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23020400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23613200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24024000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24312400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24496200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24790000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25031000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25292700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25590100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25863300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26266300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26675800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27193100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ref="I570:I633" si="9">I569+H570</f>
        <v>27747400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9"/>
        <v>28134500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9"/>
        <v>28632800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9"/>
        <v>30555800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9"/>
        <v>31323100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9"/>
        <v>31584000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9"/>
        <v>32053300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9"/>
        <v>32547000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9"/>
        <v>32980400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9"/>
        <v>33224100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33491500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33895100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34072800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34442600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34644600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35004400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35118500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35335200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35567200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35883900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36289200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36843800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37237800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37513900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37762600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38669000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39054000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39865100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40393200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40757900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41073500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41762800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42330400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42629700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42953800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43322100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44407700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45196300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46250300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49930900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51899300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53244300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54086500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55828700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56906400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58365800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59089400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60867400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61995700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62564000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63193000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63797600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64256900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64776300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65248400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65610300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66273100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66836900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67149600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67580100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67987700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69320800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69744500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70516700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ref="I634:I697" si="10">I633+H634</f>
        <v>71170700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0"/>
        <v>71873200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0"/>
        <v>72125500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0"/>
        <v>73091600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0"/>
        <v>73830700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0"/>
        <v>74269000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0"/>
        <v>74676700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0"/>
        <v>75007500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0"/>
        <v>75178200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0"/>
        <v>75588700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75995400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76436600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76737700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76993500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77317700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77804200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78077400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78397500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78744600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79376900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80853400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81453100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81836300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82077300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82367100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82696700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82846500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83148900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83611400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84143600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84570000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85031000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85257500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85651700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86082300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86315800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86480000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86809200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87009200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87129400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87569400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87813000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88109800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88393400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88666500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88820400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88997700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89195000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89561700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89786600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90329800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90549400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90818800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91092700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91875600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92616000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93697500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93937700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94080700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94352000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94503200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94670200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94966200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95082400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ref="I698:I754" si="11">I697+H698</f>
        <v>95210400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1"/>
        <v>95446600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1"/>
        <v>95606200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1"/>
        <v>95704600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1"/>
        <v>95948900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1"/>
        <v>96097700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1"/>
        <v>96408300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1"/>
        <v>96858500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1"/>
        <v>97053800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1"/>
        <v>97283200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97485900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97666500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97777900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97914700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98054700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98169000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98306900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98603200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99164100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100218500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100549400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100990700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101316600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101531900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101872400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102796900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103154800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103413600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103579000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103862700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104114800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104192300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104247800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104549200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104810400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105036100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105163800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105265000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105387000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105525200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105698400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105774200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105839800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105971100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106127400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106232200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106361500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106456100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106525200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106761300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106952500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107260700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107360300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107505500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107661700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107756600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107873900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>H1759</f>
        <v>672400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>H1760+I1759</f>
        <v>1605500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ref="I1761:I1824" si="12">H1761+I1760</f>
        <v>2404000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12"/>
        <v>3466000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12"/>
        <v>3932100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12"/>
        <v>4496100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12"/>
        <v>5007500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12"/>
        <v>6878200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12"/>
        <v>7859100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12"/>
        <v>8785600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12"/>
        <v>9777800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12"/>
        <v>11712000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12"/>
        <v>12631600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12"/>
        <v>13875500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12"/>
        <v>17762700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12"/>
        <v>19058100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12"/>
        <v>20044000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12"/>
        <v>20922800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12"/>
        <v>22465900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12"/>
        <v>23525800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12"/>
        <v>24681200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12"/>
        <v>25580300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12"/>
        <v>27397100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12"/>
        <v>28753100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12"/>
        <v>30341800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12"/>
        <v>31189300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12"/>
        <v>32594000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12"/>
        <v>34268200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12"/>
        <v>36935200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12"/>
        <v>38453600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12"/>
        <v>41148700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12"/>
        <v>42958700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12"/>
        <v>45810400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12"/>
        <v>47135600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12"/>
        <v>50079900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12"/>
        <v>53081300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12"/>
        <v>54402500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12"/>
        <v>56077300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12"/>
        <v>57639900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12"/>
        <v>58892700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12"/>
        <v>60831300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12"/>
        <v>62729800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12"/>
        <v>65370400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12"/>
        <v>69590200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12"/>
        <v>75773300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12"/>
        <v>78897300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12"/>
        <v>80880800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12"/>
        <v>82591100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12"/>
        <v>84469500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12"/>
        <v>87532400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12"/>
        <v>89098400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12"/>
        <v>91374100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12"/>
        <v>93635600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12"/>
        <v>96397600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12"/>
        <v>101506000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12"/>
        <v>105843700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12"/>
        <v>108961600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12"/>
        <v>111566800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12"/>
        <v>113944200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12"/>
        <v>116529600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12"/>
        <v>119901600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12"/>
        <v>122069400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12"/>
        <v>124609300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12"/>
        <v>129937600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12"/>
        <v>134978800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12"/>
        <v>141335000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ref="I1825:I1888" si="13">H1825+I1824</f>
        <v>144254900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13"/>
        <v>146698100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13"/>
        <v>148407000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13"/>
        <v>149895100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13"/>
        <v>151369100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13"/>
        <v>152872200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13"/>
        <v>153961700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13"/>
        <v>155929800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13"/>
        <v>157096600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13"/>
        <v>158899700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13"/>
        <v>161474400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13"/>
        <v>162899700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13"/>
        <v>164269700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13"/>
        <v>165105200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13"/>
        <v>166258700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13"/>
        <v>170003900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13"/>
        <v>170970300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13"/>
        <v>175021800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13"/>
        <v>176046500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13"/>
        <v>176828100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13"/>
        <v>178826600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13"/>
        <v>181071600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13"/>
        <v>185249400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13"/>
        <v>194428200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13"/>
        <v>199981800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13"/>
        <v>203792000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13"/>
        <v>206551300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13"/>
        <v>209583800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13"/>
        <v>211868700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13"/>
        <v>213907500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13"/>
        <v>215877700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13"/>
        <v>217137700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13"/>
        <v>217992700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13"/>
        <v>219273200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13"/>
        <v>221048200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13"/>
        <v>222841300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13"/>
        <v>225858200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13"/>
        <v>231453300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13"/>
        <v>234781200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13"/>
        <v>237753400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13"/>
        <v>241479500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13"/>
        <v>244014900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13"/>
        <v>245657300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13"/>
        <v>248004000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13"/>
        <v>249489300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13"/>
        <v>253961500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13"/>
        <v>257503400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13"/>
        <v>259699500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13"/>
        <v>264850600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13"/>
        <v>266463500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13"/>
        <v>268065600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13"/>
        <v>269541500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13"/>
        <v>270641600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13"/>
        <v>272637000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13"/>
        <v>274439400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13"/>
        <v>275719600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13"/>
        <v>276901900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13"/>
        <v>278888500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13"/>
        <v>280315900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13"/>
        <v>283064000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13"/>
        <v>284466400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13"/>
        <v>289031800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13"/>
        <v>292212500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13"/>
        <v>295004300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ref="I1889:I1952" si="14">H1889+I1888</f>
        <v>297633100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14"/>
        <v>299392100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14"/>
        <v>301473000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14"/>
        <v>303009800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14"/>
        <v>304535500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14"/>
        <v>306957700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14"/>
        <v>309225900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14"/>
        <v>311760900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14"/>
        <v>313869300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14"/>
        <v>315156100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14"/>
        <v>316588400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14"/>
        <v>318104500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14"/>
        <v>319274200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14"/>
        <v>320703900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14"/>
        <v>322542800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14"/>
        <v>323590900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14"/>
        <v>324711800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14"/>
        <v>325830100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14"/>
        <v>329248500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14"/>
        <v>330781200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14"/>
        <v>331624200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14"/>
        <v>332932300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14"/>
        <v>335031600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14"/>
        <v>344816300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14"/>
        <v>349481200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14"/>
        <v>352515700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14"/>
        <v>354343000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14"/>
        <v>356552900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14"/>
        <v>358643400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14"/>
        <v>361073800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14"/>
        <v>363351000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14"/>
        <v>365059400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14"/>
        <v>367653600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14"/>
        <v>368967000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14"/>
        <v>371725000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14"/>
        <v>373935100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14"/>
        <v>375210500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14"/>
        <v>376784200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14"/>
        <v>378116600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14"/>
        <v>379865400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14"/>
        <v>381424200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14"/>
        <v>382540100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14"/>
        <v>383555700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14"/>
        <v>384842100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14"/>
        <v>388530000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14"/>
        <v>389912300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14"/>
        <v>390863200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14"/>
        <v>391860500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14"/>
        <v>393158700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14"/>
        <v>394040500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14"/>
        <v>394896200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14"/>
        <v>396044200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14"/>
        <v>398325500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14"/>
        <v>399886700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14"/>
        <v>401113100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14"/>
        <v>401982900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14"/>
        <v>404476500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14"/>
        <v>406638700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14"/>
        <v>408320300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14"/>
        <v>411136500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14"/>
        <v>413270700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14"/>
        <v>414464400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14"/>
        <v>415960300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14"/>
        <v>417120400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ref="I1953:I2009" si="15">H1953+I1952</f>
        <v>418195800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15"/>
        <v>419742000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15"/>
        <v>421790200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15"/>
        <v>423249700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15"/>
        <v>424299900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15"/>
        <v>426233300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15"/>
        <v>427378100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15"/>
        <v>428153900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15"/>
        <v>429234300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15"/>
        <v>430171500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15"/>
        <v>431356900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15"/>
        <v>432566700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15"/>
        <v>434492300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15"/>
        <v>435603200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15"/>
        <v>436697900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15"/>
        <v>437570700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15"/>
        <v>438695100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15"/>
        <v>439869800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15"/>
        <v>441240300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15"/>
        <v>442500200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15"/>
        <v>443396800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15"/>
        <v>444954300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15"/>
        <v>447120000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15"/>
        <v>447923700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15"/>
        <v>448878800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15"/>
        <v>449934800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15"/>
        <v>450860100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15"/>
        <v>452275300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15"/>
        <v>453697600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15"/>
        <v>455108800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15"/>
        <v>456510600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15"/>
        <v>457374500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15"/>
        <v>457740300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15"/>
        <v>458816000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15"/>
        <v>462147200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15"/>
        <v>465050400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15"/>
        <v>467249700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15"/>
        <v>469305600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15"/>
        <v>471191200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15"/>
        <v>473015500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15"/>
        <v>474319800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15"/>
        <v>475525800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15"/>
        <v>476693800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15"/>
        <v>477624400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15"/>
        <v>478711500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15"/>
        <v>479968700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15"/>
        <v>481741500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15"/>
        <v>483697100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15"/>
        <v>485186900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15"/>
        <v>486511200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15"/>
        <v>492362600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15"/>
        <v>495498300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15"/>
        <v>497039200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15"/>
        <v>498624600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15"/>
        <v>499997200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15"/>
        <v>501536800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15"/>
        <v>502757100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4F82A-DB14-4DA9-8BCE-E4528090BED3}">
  <sheetPr codeName="Sheet6"/>
  <dimension ref="A1:L100"/>
  <sheetViews>
    <sheetView tabSelected="1" workbookViewId="0">
      <selection activeCell="J14" sqref="J14"/>
    </sheetView>
  </sheetViews>
  <sheetFormatPr defaultRowHeight="14.4" x14ac:dyDescent="0.3"/>
  <cols>
    <col min="2" max="2" width="19.5546875" bestFit="1" customWidth="1"/>
    <col min="3" max="3" width="10" bestFit="1" customWidth="1"/>
    <col min="4" max="4" width="9" bestFit="1" customWidth="1"/>
    <col min="5" max="5" width="11" bestFit="1" customWidth="1"/>
    <col min="6" max="6" width="18.44140625" bestFit="1" customWidth="1"/>
    <col min="7" max="7" width="17.88671875" bestFit="1" customWidth="1"/>
  </cols>
  <sheetData>
    <row r="1" spans="1:12" ht="15.6" x14ac:dyDescent="0.3">
      <c r="A1" s="3" t="s">
        <v>526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3">
      <c r="A3" s="5" t="s">
        <v>0</v>
      </c>
      <c r="B3" s="5" t="s">
        <v>522</v>
      </c>
      <c r="C3" s="5" t="s">
        <v>524</v>
      </c>
      <c r="D3" s="2"/>
      <c r="E3" s="2"/>
      <c r="F3" s="2"/>
      <c r="G3" s="2"/>
      <c r="H3" s="2"/>
      <c r="I3" s="2"/>
      <c r="J3" s="2"/>
      <c r="K3" s="2"/>
      <c r="L3" s="2"/>
    </row>
    <row r="4" spans="1:12" x14ac:dyDescent="0.3">
      <c r="A4" s="2" t="s">
        <v>8</v>
      </c>
      <c r="B4" s="6">
        <v>83079900</v>
      </c>
      <c r="C4" s="7">
        <v>-7.2847634553909302E-2</v>
      </c>
      <c r="D4" s="2"/>
      <c r="E4" s="2"/>
      <c r="F4" s="2"/>
      <c r="G4" s="2"/>
      <c r="H4" s="2"/>
      <c r="I4" s="2"/>
      <c r="J4" s="2"/>
      <c r="K4" s="2"/>
      <c r="L4" s="2"/>
    </row>
    <row r="5" spans="1:12" x14ac:dyDescent="0.3">
      <c r="A5" s="2" t="s">
        <v>9</v>
      </c>
      <c r="B5" s="6">
        <v>200879900</v>
      </c>
      <c r="C5" s="7">
        <v>-0.16336052119731903</v>
      </c>
      <c r="D5" s="2"/>
      <c r="E5" s="2"/>
      <c r="F5" s="2"/>
      <c r="G5" s="2"/>
      <c r="H5" s="2"/>
      <c r="I5" s="2"/>
      <c r="J5" s="2"/>
      <c r="K5" s="2"/>
      <c r="L5" s="2"/>
    </row>
    <row r="6" spans="1:12" x14ac:dyDescent="0.3">
      <c r="A6" s="2" t="s">
        <v>10</v>
      </c>
      <c r="B6" s="6">
        <v>107873900</v>
      </c>
      <c r="C6" s="7">
        <v>-0.62601888179779053</v>
      </c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2" t="s">
        <v>11</v>
      </c>
      <c r="B7" s="6">
        <v>607473500</v>
      </c>
      <c r="C7" s="8">
        <v>0.81923085451126099</v>
      </c>
      <c r="D7" s="2"/>
      <c r="E7" s="2"/>
      <c r="F7" s="2"/>
      <c r="G7" s="2"/>
      <c r="H7" s="2"/>
      <c r="I7" s="2"/>
      <c r="J7" s="2"/>
      <c r="K7" s="2"/>
      <c r="L7" s="2"/>
    </row>
    <row r="8" spans="1:12" x14ac:dyDescent="0.3">
      <c r="A8" s="2" t="s">
        <v>12</v>
      </c>
      <c r="B8" s="6">
        <v>478113900</v>
      </c>
      <c r="C8" s="7">
        <v>-0.39713191986083984</v>
      </c>
      <c r="D8" s="2"/>
      <c r="E8" s="2"/>
      <c r="F8" s="2"/>
      <c r="G8" s="2"/>
      <c r="H8" s="2"/>
      <c r="I8" s="2"/>
      <c r="J8" s="2"/>
      <c r="K8" s="2"/>
      <c r="L8" s="2"/>
    </row>
    <row r="9" spans="1:12" x14ac:dyDescent="0.3">
      <c r="A9" s="2" t="s">
        <v>13</v>
      </c>
      <c r="B9" s="6">
        <v>104340600</v>
      </c>
      <c r="C9" s="7">
        <v>-0.20658062398433685</v>
      </c>
      <c r="D9" s="2"/>
      <c r="E9" s="2"/>
      <c r="F9" s="2"/>
      <c r="G9" s="2"/>
      <c r="H9" s="2"/>
      <c r="I9" s="2"/>
      <c r="J9" s="2"/>
      <c r="K9" s="2"/>
      <c r="L9" s="2"/>
    </row>
    <row r="10" spans="1:12" x14ac:dyDescent="0.3">
      <c r="A10" s="2" t="s">
        <v>14</v>
      </c>
      <c r="B10" s="6">
        <v>158309000</v>
      </c>
      <c r="C10" s="7">
        <v>-0.6053471565246582</v>
      </c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3">
      <c r="A11" s="2" t="s">
        <v>15</v>
      </c>
      <c r="B11" s="6">
        <v>502757100</v>
      </c>
      <c r="C11" s="8">
        <v>0.83952707052230835</v>
      </c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">
      <c r="A12" s="2" t="s">
        <v>16</v>
      </c>
      <c r="B12" s="6">
        <v>237212300</v>
      </c>
      <c r="C12" s="7">
        <v>-7.7529586851596832E-2</v>
      </c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2" t="s">
        <v>17</v>
      </c>
      <c r="B13" s="6">
        <v>538024300</v>
      </c>
      <c r="C13" s="7">
        <v>-0.44593092799186707</v>
      </c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">
      <c r="A14" s="2" t="s">
        <v>18</v>
      </c>
      <c r="B14" s="6">
        <v>151434700</v>
      </c>
      <c r="C14" s="7">
        <v>-4.9957673996686935E-2</v>
      </c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2" t="s">
        <v>19</v>
      </c>
      <c r="B15" s="6">
        <v>136539100</v>
      </c>
      <c r="C15" s="7">
        <v>-3.5443063825368881E-2</v>
      </c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55EFB-C7CA-4A17-A3F7-F8B0A2979917}">
  <sheetPr codeName="Sheet3"/>
  <dimension ref="A1:L100"/>
  <sheetViews>
    <sheetView workbookViewId="0">
      <selection activeCell="B22" sqref="B22"/>
    </sheetView>
  </sheetViews>
  <sheetFormatPr defaultRowHeight="14.4" x14ac:dyDescent="0.3"/>
  <cols>
    <col min="2" max="2" width="19.5546875" bestFit="1" customWidth="1"/>
    <col min="3" max="3" width="12.21875" bestFit="1" customWidth="1"/>
    <col min="5" max="5" width="11" bestFit="1" customWidth="1"/>
    <col min="6" max="6" width="18.44140625" bestFit="1" customWidth="1"/>
    <col min="7" max="7" width="17.88671875" bestFit="1" customWidth="1"/>
  </cols>
  <sheetData>
    <row r="1" spans="1:12" ht="15.6" x14ac:dyDescent="0.3">
      <c r="A1" s="3" t="s">
        <v>525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3">
      <c r="A3" s="5" t="s">
        <v>0</v>
      </c>
      <c r="B3" s="5" t="s">
        <v>522</v>
      </c>
      <c r="C3" s="5" t="s">
        <v>524</v>
      </c>
      <c r="D3" s="2"/>
      <c r="E3" s="2"/>
      <c r="F3" s="2"/>
      <c r="G3" s="2"/>
      <c r="H3" s="2"/>
      <c r="I3" s="2"/>
      <c r="J3" s="2"/>
      <c r="K3" s="2"/>
      <c r="L3" s="2"/>
    </row>
    <row r="4" spans="1:12" x14ac:dyDescent="0.3">
      <c r="A4" s="2" t="s">
        <v>8</v>
      </c>
      <c r="B4" s="6">
        <v>136070900</v>
      </c>
      <c r="C4" s="8">
        <v>8.9368253946304321E-2</v>
      </c>
      <c r="D4" s="2"/>
      <c r="E4" s="2"/>
      <c r="F4" s="2"/>
      <c r="G4" s="2"/>
      <c r="H4" s="2"/>
      <c r="I4" s="2"/>
      <c r="J4" s="2"/>
      <c r="K4" s="2"/>
      <c r="L4" s="2"/>
    </row>
    <row r="5" spans="1:12" x14ac:dyDescent="0.3">
      <c r="A5" s="2" t="s">
        <v>9</v>
      </c>
      <c r="B5" s="6">
        <v>310592800</v>
      </c>
      <c r="C5" s="8">
        <v>0.33070248365402222</v>
      </c>
      <c r="D5" s="2"/>
      <c r="E5" s="2"/>
      <c r="F5" s="2"/>
      <c r="G5" s="2"/>
      <c r="H5" s="2"/>
      <c r="I5" s="2"/>
      <c r="J5" s="2"/>
      <c r="K5" s="2"/>
      <c r="L5" s="2"/>
    </row>
    <row r="6" spans="1:12" x14ac:dyDescent="0.3">
      <c r="A6" s="2" t="s">
        <v>10</v>
      </c>
      <c r="B6" s="6">
        <v>35796200</v>
      </c>
      <c r="C6" s="8">
        <v>1.9944583177566528</v>
      </c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2" t="s">
        <v>11</v>
      </c>
      <c r="B7" s="6">
        <v>221772100</v>
      </c>
      <c r="C7" s="8">
        <v>1.2952382564544678</v>
      </c>
      <c r="D7" s="2"/>
      <c r="E7" s="2"/>
      <c r="F7" s="2"/>
      <c r="G7" s="2"/>
      <c r="H7" s="2"/>
      <c r="I7" s="2"/>
      <c r="J7" s="2"/>
      <c r="K7" s="2"/>
      <c r="L7" s="2"/>
    </row>
    <row r="8" spans="1:12" x14ac:dyDescent="0.3">
      <c r="A8" s="2" t="s">
        <v>12</v>
      </c>
      <c r="B8" s="6">
        <v>684181400</v>
      </c>
      <c r="C8" s="8">
        <v>1.0131185054779053</v>
      </c>
      <c r="D8" s="2"/>
      <c r="E8" s="2"/>
      <c r="F8" s="2"/>
      <c r="G8" s="2"/>
      <c r="H8" s="2"/>
      <c r="I8" s="2"/>
      <c r="J8" s="2"/>
      <c r="K8" s="2"/>
      <c r="L8" s="2"/>
    </row>
    <row r="9" spans="1:12" x14ac:dyDescent="0.3">
      <c r="A9" s="2" t="s">
        <v>13</v>
      </c>
      <c r="B9" s="6">
        <v>80949300</v>
      </c>
      <c r="C9" s="8">
        <v>0.2583681046962738</v>
      </c>
      <c r="D9" s="2"/>
      <c r="E9" s="2"/>
      <c r="F9" s="2"/>
      <c r="G9" s="2"/>
      <c r="H9" s="2"/>
      <c r="I9" s="2"/>
      <c r="J9" s="2"/>
      <c r="K9" s="2"/>
      <c r="L9" s="2"/>
    </row>
    <row r="10" spans="1:12" x14ac:dyDescent="0.3">
      <c r="A10" s="2" t="s">
        <v>14</v>
      </c>
      <c r="B10" s="6">
        <v>191632200</v>
      </c>
      <c r="C10" s="8">
        <v>0.53870755434036255</v>
      </c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3">
      <c r="A11" s="2" t="s">
        <v>15</v>
      </c>
      <c r="B11" s="6">
        <v>267681300</v>
      </c>
      <c r="C11" s="8">
        <v>5.5456161499023438E-2</v>
      </c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">
      <c r="A12" s="2" t="s">
        <v>16</v>
      </c>
      <c r="B12" s="6">
        <v>206885200</v>
      </c>
      <c r="C12" s="8">
        <v>1.8446969985961914</v>
      </c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2" t="s">
        <v>17</v>
      </c>
      <c r="B13" s="6">
        <v>782187000</v>
      </c>
      <c r="C13" s="8">
        <v>0.23065699636936188</v>
      </c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">
      <c r="A14" s="2" t="s">
        <v>18</v>
      </c>
      <c r="B14" s="6">
        <v>139402800</v>
      </c>
      <c r="C14" s="7">
        <v>-7.2148971259593964E-2</v>
      </c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2" t="s">
        <v>19</v>
      </c>
      <c r="B15" s="6">
        <v>109487900</v>
      </c>
      <c r="C15" s="8">
        <v>0.50000005960464478</v>
      </c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Report</vt:lpstr>
      <vt:lpstr>2017</vt:lpstr>
      <vt:lpstr>2018</vt:lpstr>
      <vt:lpstr>All Stocks Analysis 2018</vt:lpstr>
      <vt:lpstr>All Stocks Analysis 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 Buckinger</dc:creator>
  <cp:lastModifiedBy>Carol Buckinger</cp:lastModifiedBy>
  <dcterms:created xsi:type="dcterms:W3CDTF">2019-05-02T20:23:55Z</dcterms:created>
  <dcterms:modified xsi:type="dcterms:W3CDTF">2022-03-27T17:50:36Z</dcterms:modified>
</cp:coreProperties>
</file>